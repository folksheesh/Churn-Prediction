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ksi Bulanan" sheetId="1" state="visible" r:id="rId1"/>
    <sheet name="Analisis Kelayak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p#,##0;[Red](Rp#,##0);&quot;-&quot;"/>
    <numFmt numFmtId="165" formatCode="0.0%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b val="1"/>
      <color rgb="001E293B"/>
      <sz val="11"/>
    </font>
    <font>
      <name val="Segoe UI"/>
      <sz val="11"/>
    </font>
    <font>
      <name val="Segoe UI"/>
      <b val="1"/>
      <color rgb="000F172A"/>
      <sz val="11"/>
    </font>
    <font>
      <name val="Segoe UI"/>
      <b val="1"/>
      <color rgb="00475569"/>
      <sz val="10"/>
    </font>
    <font>
      <name val="Segoe UI"/>
      <b val="1"/>
      <color rgb="00059669"/>
      <sz val="18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ECFDF5"/>
        <bgColor rgb="00ECFDF5"/>
      </patternFill>
    </fill>
  </fills>
  <borders count="10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1E3A8A"/>
      </top>
      <bottom style="medium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  <border>
      <left style="thin">
        <color rgb="00CBD5E1"/>
      </left>
      <top style="thin">
        <color rgb="00CBD5E1"/>
      </top>
    </border>
    <border>
      <right style="thin">
        <color rgb="00CBD5E1"/>
      </right>
      <top style="thin">
        <color rgb="00CBD5E1"/>
      </top>
    </border>
    <border>
      <left style="thin">
        <color rgb="00CBD5E1"/>
      </left>
    </border>
    <border>
      <right style="thin">
        <color rgb="00CBD5E1"/>
      </right>
    </border>
    <border>
      <left style="thin">
        <color rgb="00CBD5E1"/>
      </left>
      <bottom style="thin">
        <color rgb="00CBD5E1"/>
      </bottom>
    </border>
    <border>
      <right style="thin">
        <color rgb="00CBD5E1"/>
      </right>
      <bottom style="thin">
        <color rgb="00CBD5E1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0" fillId="4" borderId="2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3" fontId="4" fillId="6" borderId="2" applyAlignment="1" pivotButton="0" quotePrefix="0" xfId="0">
      <alignment horizontal="right" vertical="center"/>
    </xf>
    <xf numFmtId="3" fontId="5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0" fontId="5" fillId="5" borderId="0" pivotButton="0" quotePrefix="0" xfId="0"/>
    <xf numFmtId="0" fontId="5" fillId="5" borderId="0" applyAlignment="1" pivotButton="0" quotePrefix="0" xfId="0">
      <alignment horizontal="center" vertical="center"/>
    </xf>
    <xf numFmtId="164" fontId="5" fillId="5" borderId="2" applyAlignment="1" pivotButton="0" quotePrefix="0" xfId="0">
      <alignment horizontal="right" vertical="center"/>
    </xf>
    <xf numFmtId="164" fontId="4" fillId="6" borderId="2" applyAlignment="1" pivotButton="0" quotePrefix="0" xfId="0">
      <alignment horizontal="right" vertical="center"/>
    </xf>
    <xf numFmtId="10" fontId="5" fillId="5" borderId="2" applyAlignment="1" pivotButton="0" quotePrefix="0" xfId="0">
      <alignment horizontal="right" vertical="center"/>
    </xf>
    <xf numFmtId="164" fontId="5" fillId="5" borderId="3" applyAlignment="1" pivotButton="0" quotePrefix="0" xfId="0">
      <alignment horizontal="right" vertical="center"/>
    </xf>
    <xf numFmtId="0" fontId="5" fillId="5" borderId="3" applyAlignment="1" pivotButton="0" quotePrefix="0" xfId="0">
      <alignment horizontal="right" vertical="center"/>
    </xf>
    <xf numFmtId="0" fontId="5" fillId="4" borderId="2" pivotButton="0" quotePrefix="0" xfId="0"/>
    <xf numFmtId="0" fontId="5" fillId="4" borderId="0" pivotButton="0" quotePrefix="0" xfId="0"/>
    <xf numFmtId="0" fontId="4" fillId="0" borderId="2" pivotButton="0" quotePrefix="0" xfId="0"/>
    <xf numFmtId="164" fontId="4" fillId="0" borderId="2" pivotButton="0" quotePrefix="0" xfId="0"/>
    <xf numFmtId="164" fontId="4" fillId="0" borderId="0" pivotButton="0" quotePrefix="0" xfId="0"/>
    <xf numFmtId="165" fontId="4" fillId="0" borderId="2" pivotButton="0" quotePrefix="0" xfId="0"/>
    <xf numFmtId="0" fontId="6" fillId="7" borderId="4" applyAlignment="1" pivotButton="0" quotePrefix="0" xfId="0">
      <alignment horizontal="center" vertical="center"/>
    </xf>
    <xf numFmtId="0" fontId="0" fillId="0" borderId="5" pivotButton="0" quotePrefix="0" xfId="0"/>
    <xf numFmtId="164" fontId="7" fillId="7" borderId="6" applyAlignment="1" pivotButton="0" quotePrefix="0" xfId="0">
      <alignment horizontal="center" vertical="center"/>
    </xf>
    <xf numFmtId="0" fontId="0" fillId="0" borderId="7" pivotButton="0" quotePrefix="0" xfId="0"/>
    <xf numFmtId="10" fontId="7" fillId="7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7" fillId="7" borderId="6" applyAlignment="1" pivotButton="0" quotePrefix="0" xfId="0">
      <alignment horizontal="center" vertical="center"/>
    </xf>
    <xf numFmtId="2" fontId="7" fillId="7" borderId="6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/>
    <row r="2" ht="40" customHeight="1">
      <c r="A2" s="1" t="inlineStr">
        <is>
          <t>PROYEKSI BULANAN CHURNSENSE - PREDICTIVE CUSTOMER ANALYTICS</t>
        </is>
      </c>
    </row>
    <row r="3"/>
    <row r="4" ht="28" customHeight="1">
      <c r="A4" s="2" t="inlineStr">
        <is>
          <t>Komponen</t>
        </is>
      </c>
      <c r="B4" s="2" t="inlineStr">
        <is>
          <t>Unit</t>
        </is>
      </c>
      <c r="C4" s="2" t="inlineStr">
        <is>
          <t>Bulan 1</t>
        </is>
      </c>
      <c r="D4" s="2" t="inlineStr">
        <is>
          <t>Bulan 2</t>
        </is>
      </c>
      <c r="E4" s="2" t="inlineStr">
        <is>
          <t>Bulan 3</t>
        </is>
      </c>
      <c r="F4" s="2" t="inlineStr">
        <is>
          <t>Bulan 4</t>
        </is>
      </c>
      <c r="G4" s="2" t="inlineStr">
        <is>
          <t>Bulan 5</t>
        </is>
      </c>
      <c r="H4" s="2" t="inlineStr">
        <is>
          <t>Bulan 6</t>
        </is>
      </c>
      <c r="I4" s="2" t="inlineStr">
        <is>
          <t>Bulan 7</t>
        </is>
      </c>
      <c r="J4" s="2" t="inlineStr">
        <is>
          <t>Bulan 8</t>
        </is>
      </c>
      <c r="K4" s="2" t="inlineStr">
        <is>
          <t>Bulan 9</t>
        </is>
      </c>
      <c r="L4" s="2" t="inlineStr">
        <is>
          <t>Bulan 10</t>
        </is>
      </c>
      <c r="M4" s="2" t="inlineStr">
        <is>
          <t>Bulan 11</t>
        </is>
      </c>
      <c r="N4" s="2" t="inlineStr">
        <is>
          <t>Bulan 12</t>
        </is>
      </c>
      <c r="O4" s="2" t="inlineStr">
        <is>
          <t>Bulan 13</t>
        </is>
      </c>
      <c r="P4" s="2" t="inlineStr">
        <is>
          <t>Bulan 14</t>
        </is>
      </c>
      <c r="Q4" s="2" t="inlineStr">
        <is>
          <t>Bulan 15</t>
        </is>
      </c>
      <c r="R4" s="2" t="inlineStr">
        <is>
          <t>Bulan 16</t>
        </is>
      </c>
      <c r="S4" s="2" t="inlineStr">
        <is>
          <t>Bulan 17</t>
        </is>
      </c>
      <c r="T4" s="2" t="inlineStr">
        <is>
          <t>Bulan 18</t>
        </is>
      </c>
      <c r="U4" s="2" t="inlineStr">
        <is>
          <t>Bulan 19</t>
        </is>
      </c>
      <c r="V4" s="2" t="inlineStr">
        <is>
          <t>Bulan 20</t>
        </is>
      </c>
      <c r="W4" s="2" t="inlineStr">
        <is>
          <t>Bulan 21</t>
        </is>
      </c>
      <c r="X4" s="2" t="inlineStr">
        <is>
          <t>Bulan 22</t>
        </is>
      </c>
      <c r="Y4" s="2" t="inlineStr">
        <is>
          <t>Bulan 23</t>
        </is>
      </c>
      <c r="Z4" s="2" t="inlineStr">
        <is>
          <t>Bulan 24</t>
        </is>
      </c>
      <c r="AA4" s="2" t="inlineStr">
        <is>
          <t>Total</t>
        </is>
      </c>
    </row>
    <row r="5" ht="20" customHeight="1">
      <c r="A5" s="3" t="inlineStr">
        <is>
          <t>PENDAPATAN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>
      <c r="A6" s="5" t="inlineStr">
        <is>
          <t>Klien Aktif</t>
        </is>
      </c>
      <c r="B6" s="6" t="inlineStr">
        <is>
          <t>klien</t>
        </is>
      </c>
      <c r="C6" s="7" t="n">
        <v>0</v>
      </c>
      <c r="D6" s="7" t="n">
        <v>0</v>
      </c>
      <c r="E6" s="7" t="n">
        <v>0</v>
      </c>
      <c r="F6" s="7" t="n">
        <v>1</v>
      </c>
      <c r="G6" s="7" t="n">
        <v>3</v>
      </c>
      <c r="H6" s="7" t="n">
        <v>5</v>
      </c>
      <c r="I6" s="7" t="n">
        <v>8</v>
      </c>
      <c r="J6" s="7" t="n">
        <v>11</v>
      </c>
      <c r="K6" s="7" t="n">
        <v>15</v>
      </c>
      <c r="L6" s="7" t="n">
        <v>20</v>
      </c>
      <c r="M6" s="7" t="n">
        <v>25</v>
      </c>
      <c r="N6" s="7" t="n">
        <v>30</v>
      </c>
      <c r="O6" s="7" t="n">
        <v>35</v>
      </c>
      <c r="P6" s="7" t="n">
        <v>40</v>
      </c>
      <c r="Q6" s="7" t="n">
        <v>45</v>
      </c>
      <c r="R6" s="7" t="n">
        <v>50</v>
      </c>
      <c r="S6" s="7" t="n">
        <v>55</v>
      </c>
      <c r="T6" s="7" t="n">
        <v>60</v>
      </c>
      <c r="U6" s="7" t="n">
        <v>65</v>
      </c>
      <c r="V6" s="7" t="n">
        <v>70</v>
      </c>
      <c r="W6" s="7" t="n">
        <v>75</v>
      </c>
      <c r="X6" s="7" t="n">
        <v>80</v>
      </c>
      <c r="Y6" s="7" t="n">
        <v>85</v>
      </c>
      <c r="Z6" s="7" t="n">
        <v>90</v>
      </c>
      <c r="AA6" s="8">
        <f>MAX(C6:Z6)</f>
        <v/>
      </c>
    </row>
    <row r="7">
      <c r="A7" s="5" t="inlineStr">
        <is>
          <t>Harga per Klien</t>
        </is>
      </c>
      <c r="B7" s="6" t="inlineStr">
        <is>
          <t>Rp/bulan</t>
        </is>
      </c>
      <c r="C7" s="9" t="n">
        <v>2500000</v>
      </c>
      <c r="D7" s="9" t="n">
        <v>2500000</v>
      </c>
      <c r="E7" s="9" t="n">
        <v>2500000</v>
      </c>
      <c r="F7" s="9" t="n">
        <v>2500000</v>
      </c>
      <c r="G7" s="9" t="n">
        <v>2500000</v>
      </c>
      <c r="H7" s="9" t="n">
        <v>2500000</v>
      </c>
      <c r="I7" s="9" t="n">
        <v>2500000</v>
      </c>
      <c r="J7" s="9" t="n">
        <v>2500000</v>
      </c>
      <c r="K7" s="9" t="n">
        <v>2500000</v>
      </c>
      <c r="L7" s="9" t="n">
        <v>2500000</v>
      </c>
      <c r="M7" s="9" t="n">
        <v>2500000</v>
      </c>
      <c r="N7" s="9" t="n">
        <v>2500000</v>
      </c>
      <c r="O7" s="9" t="n">
        <v>2500000</v>
      </c>
      <c r="P7" s="9" t="n">
        <v>2500000</v>
      </c>
      <c r="Q7" s="9" t="n">
        <v>2500000</v>
      </c>
      <c r="R7" s="9" t="n">
        <v>2500000</v>
      </c>
      <c r="S7" s="9" t="n">
        <v>2500000</v>
      </c>
      <c r="T7" s="9" t="n">
        <v>2500000</v>
      </c>
      <c r="U7" s="9" t="n">
        <v>2500000</v>
      </c>
      <c r="V7" s="9" t="n">
        <v>2500000</v>
      </c>
      <c r="W7" s="9" t="n">
        <v>2500000</v>
      </c>
      <c r="X7" s="9" t="n">
        <v>2500000</v>
      </c>
      <c r="Y7" s="9" t="n">
        <v>2500000</v>
      </c>
      <c r="Z7" s="9" t="n">
        <v>2500000</v>
      </c>
      <c r="AA7" s="10">
        <f>AVERAGE(C7:Z7)</f>
        <v/>
      </c>
    </row>
    <row r="8">
      <c r="A8" s="11" t="inlineStr">
        <is>
          <t>Total Revenue</t>
        </is>
      </c>
      <c r="B8" s="12" t="inlineStr">
        <is>
          <t>Rp/bulan</t>
        </is>
      </c>
      <c r="C8" s="13">
        <f>C6*C7</f>
        <v/>
      </c>
      <c r="D8" s="13">
        <f>D6*D7</f>
        <v/>
      </c>
      <c r="E8" s="13">
        <f>E6*E7</f>
        <v/>
      </c>
      <c r="F8" s="13">
        <f>F6*F7</f>
        <v/>
      </c>
      <c r="G8" s="13">
        <f>G6*G7</f>
        <v/>
      </c>
      <c r="H8" s="13">
        <f>H6*H7</f>
        <v/>
      </c>
      <c r="I8" s="13">
        <f>I6*I7</f>
        <v/>
      </c>
      <c r="J8" s="13">
        <f>J6*J7</f>
        <v/>
      </c>
      <c r="K8" s="13">
        <f>K6*K7</f>
        <v/>
      </c>
      <c r="L8" s="13">
        <f>L6*L7</f>
        <v/>
      </c>
      <c r="M8" s="13">
        <f>M6*M7</f>
        <v/>
      </c>
      <c r="N8" s="13">
        <f>N6*N7</f>
        <v/>
      </c>
      <c r="O8" s="13">
        <f>O6*O7</f>
        <v/>
      </c>
      <c r="P8" s="13">
        <f>P6*P7</f>
        <v/>
      </c>
      <c r="Q8" s="13">
        <f>Q6*Q7</f>
        <v/>
      </c>
      <c r="R8" s="13">
        <f>R6*R7</f>
        <v/>
      </c>
      <c r="S8" s="13">
        <f>S6*S7</f>
        <v/>
      </c>
      <c r="T8" s="13">
        <f>T6*T7</f>
        <v/>
      </c>
      <c r="U8" s="13">
        <f>U6*U7</f>
        <v/>
      </c>
      <c r="V8" s="13">
        <f>V6*V7</f>
        <v/>
      </c>
      <c r="W8" s="13">
        <f>W6*W7</f>
        <v/>
      </c>
      <c r="X8" s="13">
        <f>X6*X7</f>
        <v/>
      </c>
      <c r="Y8" s="13">
        <f>Y6*Y7</f>
        <v/>
      </c>
      <c r="Z8" s="13">
        <f>Z6*Z7</f>
        <v/>
      </c>
      <c r="AA8" s="13">
        <f>SUM(C8:Z8)</f>
        <v/>
      </c>
    </row>
    <row r="9" ht="10" customHeight="1"/>
    <row r="10" ht="20" customHeight="1">
      <c r="A10" s="3" t="inlineStr">
        <is>
          <t>HARGA POKOK PENJUALAN (COGS)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</row>
    <row r="11">
      <c r="A11" s="5" t="inlineStr">
        <is>
          <t>Server Hosting &amp; Cloud GPU</t>
        </is>
      </c>
      <c r="B11" s="6" t="inlineStr">
        <is>
          <t>Rp/bulan</t>
        </is>
      </c>
      <c r="C11" s="14">
        <f>IF(C6&gt;0, 500000+C6*50000, 0)</f>
        <v/>
      </c>
      <c r="D11" s="14">
        <f>IF(D6&gt;0, 500000+D6*50000, 0)</f>
        <v/>
      </c>
      <c r="E11" s="14">
        <f>IF(E6&gt;0, 500000+E6*50000, 0)</f>
        <v/>
      </c>
      <c r="F11" s="14">
        <f>IF(F6&gt;0, 500000+F6*50000, 0)</f>
        <v/>
      </c>
      <c r="G11" s="14">
        <f>IF(G6&gt;0, 500000+G6*50000, 0)</f>
        <v/>
      </c>
      <c r="H11" s="14">
        <f>IF(H6&gt;0, 500000+H6*50000, 0)</f>
        <v/>
      </c>
      <c r="I11" s="14">
        <f>IF(I6&gt;0, 500000+I6*50000, 0)</f>
        <v/>
      </c>
      <c r="J11" s="14">
        <f>IF(J6&gt;0, 500000+J6*50000, 0)</f>
        <v/>
      </c>
      <c r="K11" s="14">
        <f>IF(K6&gt;0, 500000+K6*50000, 0)</f>
        <v/>
      </c>
      <c r="L11" s="14">
        <f>IF(L6&gt;0, 500000+L6*50000, 0)</f>
        <v/>
      </c>
      <c r="M11" s="14">
        <f>IF(M6&gt;0, 500000+M6*50000, 0)</f>
        <v/>
      </c>
      <c r="N11" s="14">
        <f>IF(N6&gt;0, 500000+N6*50000, 0)</f>
        <v/>
      </c>
      <c r="O11" s="14">
        <f>IF(O6&gt;0, 500000+O6*50000, 0)</f>
        <v/>
      </c>
      <c r="P11" s="14">
        <f>IF(P6&gt;0, 500000+P6*50000, 0)</f>
        <v/>
      </c>
      <c r="Q11" s="14">
        <f>IF(Q6&gt;0, 500000+Q6*50000, 0)</f>
        <v/>
      </c>
      <c r="R11" s="14">
        <f>IF(R6&gt;0, 500000+R6*50000, 0)</f>
        <v/>
      </c>
      <c r="S11" s="14">
        <f>IF(S6&gt;0, 500000+S6*50000, 0)</f>
        <v/>
      </c>
      <c r="T11" s="14">
        <f>IF(T6&gt;0, 500000+T6*50000, 0)</f>
        <v/>
      </c>
      <c r="U11" s="14">
        <f>IF(U6&gt;0, 500000+U6*50000, 0)</f>
        <v/>
      </c>
      <c r="V11" s="14">
        <f>IF(V6&gt;0, 500000+V6*50000, 0)</f>
        <v/>
      </c>
      <c r="W11" s="14">
        <f>IF(W6&gt;0, 500000+W6*50000, 0)</f>
        <v/>
      </c>
      <c r="X11" s="14">
        <f>IF(X6&gt;0, 500000+X6*50000, 0)</f>
        <v/>
      </c>
      <c r="Y11" s="14">
        <f>IF(Y6&gt;0, 500000+Y6*50000, 0)</f>
        <v/>
      </c>
      <c r="Z11" s="14">
        <f>IF(Z6&gt;0, 500000+Z6*50000, 0)</f>
        <v/>
      </c>
      <c r="AA11" s="10">
        <f>SUM(C11:Z11)</f>
        <v/>
      </c>
    </row>
    <row r="12">
      <c r="A12" s="5" t="inlineStr">
        <is>
          <t>Database Cloud (Supabase)</t>
        </is>
      </c>
      <c r="B12" s="6" t="inlineStr">
        <is>
          <t>Rp/bulan</t>
        </is>
      </c>
      <c r="C12" s="9">
        <f>IF(C6&gt;0, 250000+C6*20000, 0)</f>
        <v/>
      </c>
      <c r="D12" s="9">
        <f>IF(D6&gt;0, 250000+D6*20000, 0)</f>
        <v/>
      </c>
      <c r="E12" s="9">
        <f>IF(E6&gt;0, 250000+E6*20000, 0)</f>
        <v/>
      </c>
      <c r="F12" s="9">
        <f>IF(F6&gt;0, 250000+F6*20000, 0)</f>
        <v/>
      </c>
      <c r="G12" s="9">
        <f>IF(G6&gt;0, 250000+G6*20000, 0)</f>
        <v/>
      </c>
      <c r="H12" s="9">
        <f>IF(H6&gt;0, 250000+H6*20000, 0)</f>
        <v/>
      </c>
      <c r="I12" s="9">
        <f>IF(I6&gt;0, 250000+I6*20000, 0)</f>
        <v/>
      </c>
      <c r="J12" s="9">
        <f>IF(J6&gt;0, 250000+J6*20000, 0)</f>
        <v/>
      </c>
      <c r="K12" s="9">
        <f>IF(K6&gt;0, 250000+K6*20000, 0)</f>
        <v/>
      </c>
      <c r="L12" s="9">
        <f>IF(L6&gt;0, 250000+L6*20000, 0)</f>
        <v/>
      </c>
      <c r="M12" s="9">
        <f>IF(M6&gt;0, 250000+M6*20000, 0)</f>
        <v/>
      </c>
      <c r="N12" s="9">
        <f>IF(N6&gt;0, 250000+N6*20000, 0)</f>
        <v/>
      </c>
      <c r="O12" s="9">
        <f>IF(O6&gt;0, 250000+O6*20000, 0)</f>
        <v/>
      </c>
      <c r="P12" s="9">
        <f>IF(P6&gt;0, 250000+P6*20000, 0)</f>
        <v/>
      </c>
      <c r="Q12" s="9">
        <f>IF(Q6&gt;0, 250000+Q6*20000, 0)</f>
        <v/>
      </c>
      <c r="R12" s="9">
        <f>IF(R6&gt;0, 250000+R6*20000, 0)</f>
        <v/>
      </c>
      <c r="S12" s="9">
        <f>IF(S6&gt;0, 250000+S6*20000, 0)</f>
        <v/>
      </c>
      <c r="T12" s="9">
        <f>IF(T6&gt;0, 250000+T6*20000, 0)</f>
        <v/>
      </c>
      <c r="U12" s="9">
        <f>IF(U6&gt;0, 250000+U6*20000, 0)</f>
        <v/>
      </c>
      <c r="V12" s="9">
        <f>IF(V6&gt;0, 250000+V6*20000, 0)</f>
        <v/>
      </c>
      <c r="W12" s="9">
        <f>IF(W6&gt;0, 250000+W6*20000, 0)</f>
        <v/>
      </c>
      <c r="X12" s="9">
        <f>IF(X6&gt;0, 250000+X6*20000, 0)</f>
        <v/>
      </c>
      <c r="Y12" s="9">
        <f>IF(Y6&gt;0, 250000+Y6*20000, 0)</f>
        <v/>
      </c>
      <c r="Z12" s="9">
        <f>IF(Z6&gt;0, 250000+Z6*20000, 0)</f>
        <v/>
      </c>
      <c r="AA12" s="10">
        <f>SUM(C12:Z12)</f>
        <v/>
      </c>
    </row>
    <row r="13">
      <c r="A13" s="5" t="inlineStr">
        <is>
          <t>API Services (NLP &amp; Email)</t>
        </is>
      </c>
      <c r="B13" s="6" t="inlineStr">
        <is>
          <t>Rp/bulan</t>
        </is>
      </c>
      <c r="C13" s="14">
        <f>IF(C6&gt;0, 250000+C6*30000, 0)</f>
        <v/>
      </c>
      <c r="D13" s="14">
        <f>IF(D6&gt;0, 250000+D6*30000, 0)</f>
        <v/>
      </c>
      <c r="E13" s="14">
        <f>IF(E6&gt;0, 250000+E6*30000, 0)</f>
        <v/>
      </c>
      <c r="F13" s="14">
        <f>IF(F6&gt;0, 250000+F6*30000, 0)</f>
        <v/>
      </c>
      <c r="G13" s="14">
        <f>IF(G6&gt;0, 250000+G6*30000, 0)</f>
        <v/>
      </c>
      <c r="H13" s="14">
        <f>IF(H6&gt;0, 250000+H6*30000, 0)</f>
        <v/>
      </c>
      <c r="I13" s="14">
        <f>IF(I6&gt;0, 250000+I6*30000, 0)</f>
        <v/>
      </c>
      <c r="J13" s="14">
        <f>IF(J6&gt;0, 250000+J6*30000, 0)</f>
        <v/>
      </c>
      <c r="K13" s="14">
        <f>IF(K6&gt;0, 250000+K6*30000, 0)</f>
        <v/>
      </c>
      <c r="L13" s="14">
        <f>IF(L6&gt;0, 250000+L6*30000, 0)</f>
        <v/>
      </c>
      <c r="M13" s="14">
        <f>IF(M6&gt;0, 250000+M6*30000, 0)</f>
        <v/>
      </c>
      <c r="N13" s="14">
        <f>IF(N6&gt;0, 250000+N6*30000, 0)</f>
        <v/>
      </c>
      <c r="O13" s="14">
        <f>IF(O6&gt;0, 250000+O6*30000, 0)</f>
        <v/>
      </c>
      <c r="P13" s="14">
        <f>IF(P6&gt;0, 250000+P6*30000, 0)</f>
        <v/>
      </c>
      <c r="Q13" s="14">
        <f>IF(Q6&gt;0, 250000+Q6*30000, 0)</f>
        <v/>
      </c>
      <c r="R13" s="14">
        <f>IF(R6&gt;0, 250000+R6*30000, 0)</f>
        <v/>
      </c>
      <c r="S13" s="14">
        <f>IF(S6&gt;0, 250000+S6*30000, 0)</f>
        <v/>
      </c>
      <c r="T13" s="14">
        <f>IF(T6&gt;0, 250000+T6*30000, 0)</f>
        <v/>
      </c>
      <c r="U13" s="14">
        <f>IF(U6&gt;0, 250000+U6*30000, 0)</f>
        <v/>
      </c>
      <c r="V13" s="14">
        <f>IF(V6&gt;0, 250000+V6*30000, 0)</f>
        <v/>
      </c>
      <c r="W13" s="14">
        <f>IF(W6&gt;0, 250000+W6*30000, 0)</f>
        <v/>
      </c>
      <c r="X13" s="14">
        <f>IF(X6&gt;0, 250000+X6*30000, 0)</f>
        <v/>
      </c>
      <c r="Y13" s="14">
        <f>IF(Y6&gt;0, 250000+Y6*30000, 0)</f>
        <v/>
      </c>
      <c r="Z13" s="14">
        <f>IF(Z6&gt;0, 250000+Z6*30000, 0)</f>
        <v/>
      </c>
      <c r="AA13" s="10">
        <f>SUM(C13:Z13)</f>
        <v/>
      </c>
    </row>
    <row r="14">
      <c r="A14" s="11" t="inlineStr">
        <is>
          <t>Total COGS</t>
        </is>
      </c>
      <c r="B14" s="12" t="inlineStr">
        <is>
          <t>Rp/bulan</t>
        </is>
      </c>
      <c r="C14" s="13">
        <f>SUM(C11:C13)</f>
        <v/>
      </c>
      <c r="D14" s="13">
        <f>SUM(D11:D13)</f>
        <v/>
      </c>
      <c r="E14" s="13">
        <f>SUM(E11:E13)</f>
        <v/>
      </c>
      <c r="F14" s="13">
        <f>SUM(F11:F13)</f>
        <v/>
      </c>
      <c r="G14" s="13">
        <f>SUM(G11:G13)</f>
        <v/>
      </c>
      <c r="H14" s="13">
        <f>SUM(H11:H13)</f>
        <v/>
      </c>
      <c r="I14" s="13">
        <f>SUM(I11:I13)</f>
        <v/>
      </c>
      <c r="J14" s="13">
        <f>SUM(J11:J13)</f>
        <v/>
      </c>
      <c r="K14" s="13">
        <f>SUM(K11:K13)</f>
        <v/>
      </c>
      <c r="L14" s="13">
        <f>SUM(L11:L13)</f>
        <v/>
      </c>
      <c r="M14" s="13">
        <f>SUM(M11:M13)</f>
        <v/>
      </c>
      <c r="N14" s="13">
        <f>SUM(N11:N13)</f>
        <v/>
      </c>
      <c r="O14" s="13">
        <f>SUM(O11:O13)</f>
        <v/>
      </c>
      <c r="P14" s="13">
        <f>SUM(P11:P13)</f>
        <v/>
      </c>
      <c r="Q14" s="13">
        <f>SUM(Q11:Q13)</f>
        <v/>
      </c>
      <c r="R14" s="13">
        <f>SUM(R11:R13)</f>
        <v/>
      </c>
      <c r="S14" s="13">
        <f>SUM(S11:S13)</f>
        <v/>
      </c>
      <c r="T14" s="13">
        <f>SUM(T11:T13)</f>
        <v/>
      </c>
      <c r="U14" s="13">
        <f>SUM(U11:U13)</f>
        <v/>
      </c>
      <c r="V14" s="13">
        <f>SUM(V11:V13)</f>
        <v/>
      </c>
      <c r="W14" s="13">
        <f>SUM(W11:W13)</f>
        <v/>
      </c>
      <c r="X14" s="13">
        <f>SUM(X11:X13)</f>
        <v/>
      </c>
      <c r="Y14" s="13">
        <f>SUM(Y11:Y13)</f>
        <v/>
      </c>
      <c r="Z14" s="13">
        <f>SUM(Z11:Z13)</f>
        <v/>
      </c>
      <c r="AA14" s="13">
        <f>SUM(C14:Z14)</f>
        <v/>
      </c>
    </row>
    <row r="15">
      <c r="A15" s="11" t="inlineStr">
        <is>
          <t>Gross Profit</t>
        </is>
      </c>
      <c r="B15" s="12" t="inlineStr">
        <is>
          <t>Rp/bulan</t>
        </is>
      </c>
      <c r="C15" s="13">
        <f>C8-C14</f>
        <v/>
      </c>
      <c r="D15" s="13">
        <f>D8-D14</f>
        <v/>
      </c>
      <c r="E15" s="13">
        <f>E8-E14</f>
        <v/>
      </c>
      <c r="F15" s="13">
        <f>F8-F14</f>
        <v/>
      </c>
      <c r="G15" s="13">
        <f>G8-G14</f>
        <v/>
      </c>
      <c r="H15" s="13">
        <f>H8-H14</f>
        <v/>
      </c>
      <c r="I15" s="13">
        <f>I8-I14</f>
        <v/>
      </c>
      <c r="J15" s="13">
        <f>J8-J14</f>
        <v/>
      </c>
      <c r="K15" s="13">
        <f>K8-K14</f>
        <v/>
      </c>
      <c r="L15" s="13">
        <f>L8-L14</f>
        <v/>
      </c>
      <c r="M15" s="13">
        <f>M8-M14</f>
        <v/>
      </c>
      <c r="N15" s="13">
        <f>N8-N14</f>
        <v/>
      </c>
      <c r="O15" s="13">
        <f>O8-O14</f>
        <v/>
      </c>
      <c r="P15" s="13">
        <f>P8-P14</f>
        <v/>
      </c>
      <c r="Q15" s="13">
        <f>Q8-Q14</f>
        <v/>
      </c>
      <c r="R15" s="13">
        <f>R8-R14</f>
        <v/>
      </c>
      <c r="S15" s="13">
        <f>S8-S14</f>
        <v/>
      </c>
      <c r="T15" s="13">
        <f>T8-T14</f>
        <v/>
      </c>
      <c r="U15" s="13">
        <f>U8-U14</f>
        <v/>
      </c>
      <c r="V15" s="13">
        <f>V8-V14</f>
        <v/>
      </c>
      <c r="W15" s="13">
        <f>W8-W14</f>
        <v/>
      </c>
      <c r="X15" s="13">
        <f>X8-X14</f>
        <v/>
      </c>
      <c r="Y15" s="13">
        <f>Y8-Y14</f>
        <v/>
      </c>
      <c r="Z15" s="13">
        <f>Z8-Z14</f>
        <v/>
      </c>
      <c r="AA15" s="13">
        <f>SUM(C15:Z15)</f>
        <v/>
      </c>
    </row>
    <row r="16">
      <c r="A16" s="11" t="inlineStr">
        <is>
          <t>Gross Profit Margin</t>
        </is>
      </c>
      <c r="B16" s="12" t="inlineStr">
        <is>
          <t>%</t>
        </is>
      </c>
      <c r="C16" s="15">
        <f>IF(C8=0, 0, C15/C8)</f>
        <v/>
      </c>
      <c r="D16" s="15">
        <f>IF(D8=0, 0, D15/D8)</f>
        <v/>
      </c>
      <c r="E16" s="15">
        <f>IF(E8=0, 0, E15/E8)</f>
        <v/>
      </c>
      <c r="F16" s="15">
        <f>IF(F8=0, 0, F15/F8)</f>
        <v/>
      </c>
      <c r="G16" s="15">
        <f>IF(G8=0, 0, G15/G8)</f>
        <v/>
      </c>
      <c r="H16" s="15">
        <f>IF(H8=0, 0, H15/H8)</f>
        <v/>
      </c>
      <c r="I16" s="15">
        <f>IF(I8=0, 0, I15/I8)</f>
        <v/>
      </c>
      <c r="J16" s="15">
        <f>IF(J8=0, 0, J15/J8)</f>
        <v/>
      </c>
      <c r="K16" s="15">
        <f>IF(K8=0, 0, K15/K8)</f>
        <v/>
      </c>
      <c r="L16" s="15">
        <f>IF(L8=0, 0, L15/L8)</f>
        <v/>
      </c>
      <c r="M16" s="15">
        <f>IF(M8=0, 0, M15/M8)</f>
        <v/>
      </c>
      <c r="N16" s="15">
        <f>IF(N8=0, 0, N15/N8)</f>
        <v/>
      </c>
      <c r="O16" s="15">
        <f>IF(O8=0, 0, O15/O8)</f>
        <v/>
      </c>
      <c r="P16" s="15">
        <f>IF(P8=0, 0, P15/P8)</f>
        <v/>
      </c>
      <c r="Q16" s="15">
        <f>IF(Q8=0, 0, Q15/Q8)</f>
        <v/>
      </c>
      <c r="R16" s="15">
        <f>IF(R8=0, 0, R15/R8)</f>
        <v/>
      </c>
      <c r="S16" s="15">
        <f>IF(S8=0, 0, S15/S8)</f>
        <v/>
      </c>
      <c r="T16" s="15">
        <f>IF(T8=0, 0, T15/T8)</f>
        <v/>
      </c>
      <c r="U16" s="15">
        <f>IF(U8=0, 0, U15/U8)</f>
        <v/>
      </c>
      <c r="V16" s="15">
        <f>IF(V8=0, 0, V15/V8)</f>
        <v/>
      </c>
      <c r="W16" s="15">
        <f>IF(W8=0, 0, W15/W8)</f>
        <v/>
      </c>
      <c r="X16" s="15">
        <f>IF(X8=0, 0, X15/X8)</f>
        <v/>
      </c>
      <c r="Y16" s="15">
        <f>IF(Y8=0, 0, Y15/Y8)</f>
        <v/>
      </c>
      <c r="Z16" s="15">
        <f>IF(Z8=0, 0, Z15/Z8)</f>
        <v/>
      </c>
      <c r="AA16" s="15">
        <f>IF(AA8=0, 0, AA15/AA8)</f>
        <v/>
      </c>
    </row>
    <row r="17" ht="10" customHeight="1"/>
    <row r="18" ht="20" customHeight="1">
      <c r="A18" s="3" t="inlineStr">
        <is>
          <t>BIAYA OPERASIONAL (OPEX)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</row>
    <row r="19">
      <c r="A19" s="5" t="inlineStr">
        <is>
          <t>Developer Salary</t>
        </is>
      </c>
      <c r="B19" s="6" t="inlineStr">
        <is>
          <t>Rp/bulan</t>
        </is>
      </c>
      <c r="C19" s="14" t="n">
        <v>10000000</v>
      </c>
      <c r="D19" s="14" t="n">
        <v>10000000</v>
      </c>
      <c r="E19" s="14" t="n">
        <v>10000000</v>
      </c>
      <c r="F19" s="14" t="n">
        <v>10000000</v>
      </c>
      <c r="G19" s="14" t="n">
        <v>10000000</v>
      </c>
      <c r="H19" s="14" t="n">
        <v>10000000</v>
      </c>
      <c r="I19" s="14" t="n">
        <v>10000000</v>
      </c>
      <c r="J19" s="14" t="n">
        <v>10000000</v>
      </c>
      <c r="K19" s="14" t="n">
        <v>10000000</v>
      </c>
      <c r="L19" s="14" t="n">
        <v>10000000</v>
      </c>
      <c r="M19" s="14" t="n">
        <v>10000000</v>
      </c>
      <c r="N19" s="14" t="n">
        <v>10000000</v>
      </c>
      <c r="O19" s="14" t="n">
        <v>10000000</v>
      </c>
      <c r="P19" s="14" t="n">
        <v>10000000</v>
      </c>
      <c r="Q19" s="14" t="n">
        <v>10000000</v>
      </c>
      <c r="R19" s="14" t="n">
        <v>10000000</v>
      </c>
      <c r="S19" s="14" t="n">
        <v>10000000</v>
      </c>
      <c r="T19" s="14" t="n">
        <v>10000000</v>
      </c>
      <c r="U19" s="14" t="n">
        <v>10000000</v>
      </c>
      <c r="V19" s="14" t="n">
        <v>10000000</v>
      </c>
      <c r="W19" s="14" t="n">
        <v>10000000</v>
      </c>
      <c r="X19" s="14" t="n">
        <v>10000000</v>
      </c>
      <c r="Y19" s="14" t="n">
        <v>10000000</v>
      </c>
      <c r="Z19" s="14" t="n">
        <v>10000000</v>
      </c>
      <c r="AA19" s="10">
        <f>SUM(C19:Z19)</f>
        <v/>
      </c>
    </row>
    <row r="20">
      <c r="A20" s="5" t="inlineStr">
        <is>
          <t>Team Leader / PM Salary</t>
        </is>
      </c>
      <c r="B20" s="6" t="inlineStr">
        <is>
          <t>Rp/bulan</t>
        </is>
      </c>
      <c r="C20" s="9" t="n">
        <v>13000000</v>
      </c>
      <c r="D20" s="9" t="n">
        <v>13000000</v>
      </c>
      <c r="E20" s="9" t="n">
        <v>13000000</v>
      </c>
      <c r="F20" s="9" t="n">
        <v>13000000</v>
      </c>
      <c r="G20" s="9" t="n">
        <v>13000000</v>
      </c>
      <c r="H20" s="9" t="n">
        <v>13000000</v>
      </c>
      <c r="I20" s="9" t="n">
        <v>13000000</v>
      </c>
      <c r="J20" s="9" t="n">
        <v>13000000</v>
      </c>
      <c r="K20" s="9" t="n">
        <v>13000000</v>
      </c>
      <c r="L20" s="9" t="n">
        <v>13000000</v>
      </c>
      <c r="M20" s="9" t="n">
        <v>13000000</v>
      </c>
      <c r="N20" s="9" t="n">
        <v>13000000</v>
      </c>
      <c r="O20" s="9" t="n">
        <v>13000000</v>
      </c>
      <c r="P20" s="9" t="n">
        <v>13000000</v>
      </c>
      <c r="Q20" s="9" t="n">
        <v>13000000</v>
      </c>
      <c r="R20" s="9" t="n">
        <v>13000000</v>
      </c>
      <c r="S20" s="9" t="n">
        <v>13000000</v>
      </c>
      <c r="T20" s="9" t="n">
        <v>13000000</v>
      </c>
      <c r="U20" s="9" t="n">
        <v>13000000</v>
      </c>
      <c r="V20" s="9" t="n">
        <v>13000000</v>
      </c>
      <c r="W20" s="9" t="n">
        <v>13000000</v>
      </c>
      <c r="X20" s="9" t="n">
        <v>13000000</v>
      </c>
      <c r="Y20" s="9" t="n">
        <v>13000000</v>
      </c>
      <c r="Z20" s="9" t="n">
        <v>13000000</v>
      </c>
      <c r="AA20" s="10">
        <f>SUM(C20:Z20)</f>
        <v/>
      </c>
    </row>
    <row r="21">
      <c r="A21" s="5" t="inlineStr">
        <is>
          <t>Marketing &amp; Sales Team</t>
        </is>
      </c>
      <c r="B21" s="6" t="inlineStr">
        <is>
          <t>Rp/bulan</t>
        </is>
      </c>
      <c r="C21" s="14" t="n">
        <v>10000000</v>
      </c>
      <c r="D21" s="14" t="n">
        <v>10000000</v>
      </c>
      <c r="E21" s="14" t="n">
        <v>10000000</v>
      </c>
      <c r="F21" s="14" t="n">
        <v>10000000</v>
      </c>
      <c r="G21" s="14" t="n">
        <v>10000000</v>
      </c>
      <c r="H21" s="14" t="n">
        <v>10000000</v>
      </c>
      <c r="I21" s="14" t="n">
        <v>10000000</v>
      </c>
      <c r="J21" s="14" t="n">
        <v>10000000</v>
      </c>
      <c r="K21" s="14" t="n">
        <v>10000000</v>
      </c>
      <c r="L21" s="14" t="n">
        <v>10000000</v>
      </c>
      <c r="M21" s="14" t="n">
        <v>10000000</v>
      </c>
      <c r="N21" s="14" t="n">
        <v>10000000</v>
      </c>
      <c r="O21" s="14" t="n">
        <v>10000000</v>
      </c>
      <c r="P21" s="14" t="n">
        <v>10000000</v>
      </c>
      <c r="Q21" s="14" t="n">
        <v>10000000</v>
      </c>
      <c r="R21" s="14" t="n">
        <v>10000000</v>
      </c>
      <c r="S21" s="14" t="n">
        <v>10000000</v>
      </c>
      <c r="T21" s="14" t="n">
        <v>10000000</v>
      </c>
      <c r="U21" s="14" t="n">
        <v>10000000</v>
      </c>
      <c r="V21" s="14" t="n">
        <v>10000000</v>
      </c>
      <c r="W21" s="14" t="n">
        <v>10000000</v>
      </c>
      <c r="X21" s="14" t="n">
        <v>10000000</v>
      </c>
      <c r="Y21" s="14" t="n">
        <v>10000000</v>
      </c>
      <c r="Z21" s="14" t="n">
        <v>10000000</v>
      </c>
      <c r="AA21" s="10">
        <f>SUM(C21:Z21)</f>
        <v/>
      </c>
    </row>
    <row r="22">
      <c r="A22" s="5" t="inlineStr">
        <is>
          <t>Sewa Gedung &amp; Utilitas</t>
        </is>
      </c>
      <c r="B22" s="6" t="inlineStr">
        <is>
          <t>Rp/bulan</t>
        </is>
      </c>
      <c r="C22" s="9" t="n">
        <v>2500000</v>
      </c>
      <c r="D22" s="9" t="n">
        <v>2500000</v>
      </c>
      <c r="E22" s="9" t="n">
        <v>2500000</v>
      </c>
      <c r="F22" s="9" t="n">
        <v>2500000</v>
      </c>
      <c r="G22" s="9" t="n">
        <v>2500000</v>
      </c>
      <c r="H22" s="9" t="n">
        <v>2500000</v>
      </c>
      <c r="I22" s="9" t="n">
        <v>2500000</v>
      </c>
      <c r="J22" s="9" t="n">
        <v>2500000</v>
      </c>
      <c r="K22" s="9" t="n">
        <v>2500000</v>
      </c>
      <c r="L22" s="9" t="n">
        <v>2500000</v>
      </c>
      <c r="M22" s="9" t="n">
        <v>2500000</v>
      </c>
      <c r="N22" s="9" t="n">
        <v>2500000</v>
      </c>
      <c r="O22" s="9" t="n">
        <v>2500000</v>
      </c>
      <c r="P22" s="9" t="n">
        <v>2500000</v>
      </c>
      <c r="Q22" s="9" t="n">
        <v>2500000</v>
      </c>
      <c r="R22" s="9" t="n">
        <v>2500000</v>
      </c>
      <c r="S22" s="9" t="n">
        <v>2500000</v>
      </c>
      <c r="T22" s="9" t="n">
        <v>2500000</v>
      </c>
      <c r="U22" s="9" t="n">
        <v>2500000</v>
      </c>
      <c r="V22" s="9" t="n">
        <v>2500000</v>
      </c>
      <c r="W22" s="9" t="n">
        <v>2500000</v>
      </c>
      <c r="X22" s="9" t="n">
        <v>2500000</v>
      </c>
      <c r="Y22" s="9" t="n">
        <v>2500000</v>
      </c>
      <c r="Z22" s="9" t="n">
        <v>2500000</v>
      </c>
      <c r="AA22" s="10">
        <f>SUM(C22:Z22)</f>
        <v/>
      </c>
    </row>
    <row r="23">
      <c r="A23" s="5" t="inlineStr">
        <is>
          <t>Internet &amp; Listrik</t>
        </is>
      </c>
      <c r="B23" s="6" t="inlineStr">
        <is>
          <t>Rp/bulan</t>
        </is>
      </c>
      <c r="C23" s="14" t="n">
        <v>1000000</v>
      </c>
      <c r="D23" s="14" t="n">
        <v>1000000</v>
      </c>
      <c r="E23" s="14" t="n">
        <v>1000000</v>
      </c>
      <c r="F23" s="14" t="n">
        <v>1000000</v>
      </c>
      <c r="G23" s="14" t="n">
        <v>1000000</v>
      </c>
      <c r="H23" s="14" t="n">
        <v>1000000</v>
      </c>
      <c r="I23" s="14" t="n">
        <v>1000000</v>
      </c>
      <c r="J23" s="14" t="n">
        <v>1000000</v>
      </c>
      <c r="K23" s="14" t="n">
        <v>1000000</v>
      </c>
      <c r="L23" s="14" t="n">
        <v>1000000</v>
      </c>
      <c r="M23" s="14" t="n">
        <v>1000000</v>
      </c>
      <c r="N23" s="14" t="n">
        <v>1000000</v>
      </c>
      <c r="O23" s="14" t="n">
        <v>1000000</v>
      </c>
      <c r="P23" s="14" t="n">
        <v>1000000</v>
      </c>
      <c r="Q23" s="14" t="n">
        <v>1000000</v>
      </c>
      <c r="R23" s="14" t="n">
        <v>1000000</v>
      </c>
      <c r="S23" s="14" t="n">
        <v>1000000</v>
      </c>
      <c r="T23" s="14" t="n">
        <v>1000000</v>
      </c>
      <c r="U23" s="14" t="n">
        <v>1000000</v>
      </c>
      <c r="V23" s="14" t="n">
        <v>1000000</v>
      </c>
      <c r="W23" s="14" t="n">
        <v>1000000</v>
      </c>
      <c r="X23" s="14" t="n">
        <v>1000000</v>
      </c>
      <c r="Y23" s="14" t="n">
        <v>1000000</v>
      </c>
      <c r="Z23" s="14" t="n">
        <v>1000000</v>
      </c>
      <c r="AA23" s="10">
        <f>SUM(C23:Z23)</f>
        <v/>
      </c>
    </row>
    <row r="24">
      <c r="A24" s="11" t="inlineStr">
        <is>
          <t>Total OpEx</t>
        </is>
      </c>
      <c r="B24" s="12" t="inlineStr">
        <is>
          <t>Rp/bulan</t>
        </is>
      </c>
      <c r="C24" s="13">
        <f>SUM(C19:C23)</f>
        <v/>
      </c>
      <c r="D24" s="13">
        <f>SUM(D19:D23)</f>
        <v/>
      </c>
      <c r="E24" s="13">
        <f>SUM(E19:E23)</f>
        <v/>
      </c>
      <c r="F24" s="13">
        <f>SUM(F19:F23)</f>
        <v/>
      </c>
      <c r="G24" s="13">
        <f>SUM(G19:G23)</f>
        <v/>
      </c>
      <c r="H24" s="13">
        <f>SUM(H19:H23)</f>
        <v/>
      </c>
      <c r="I24" s="13">
        <f>SUM(I19:I23)</f>
        <v/>
      </c>
      <c r="J24" s="13">
        <f>SUM(J19:J23)</f>
        <v/>
      </c>
      <c r="K24" s="13">
        <f>SUM(K19:K23)</f>
        <v/>
      </c>
      <c r="L24" s="13">
        <f>SUM(L19:L23)</f>
        <v/>
      </c>
      <c r="M24" s="13">
        <f>SUM(M19:M23)</f>
        <v/>
      </c>
      <c r="N24" s="13">
        <f>SUM(N19:N23)</f>
        <v/>
      </c>
      <c r="O24" s="13">
        <f>SUM(O19:O23)</f>
        <v/>
      </c>
      <c r="P24" s="13">
        <f>SUM(P19:P23)</f>
        <v/>
      </c>
      <c r="Q24" s="13">
        <f>SUM(Q19:Q23)</f>
        <v/>
      </c>
      <c r="R24" s="13">
        <f>SUM(R19:R23)</f>
        <v/>
      </c>
      <c r="S24" s="13">
        <f>SUM(S19:S23)</f>
        <v/>
      </c>
      <c r="T24" s="13">
        <f>SUM(T19:T23)</f>
        <v/>
      </c>
      <c r="U24" s="13">
        <f>SUM(U19:U23)</f>
        <v/>
      </c>
      <c r="V24" s="13">
        <f>SUM(V19:V23)</f>
        <v/>
      </c>
      <c r="W24" s="13">
        <f>SUM(W19:W23)</f>
        <v/>
      </c>
      <c r="X24" s="13">
        <f>SUM(X19:X23)</f>
        <v/>
      </c>
      <c r="Y24" s="13">
        <f>SUM(Y19:Y23)</f>
        <v/>
      </c>
      <c r="Z24" s="13">
        <f>SUM(Z19:Z23)</f>
        <v/>
      </c>
      <c r="AA24" s="13">
        <f>SUM(C24:Z24)</f>
        <v/>
      </c>
    </row>
    <row r="25" ht="10" customHeight="1"/>
    <row r="26" ht="20" customHeight="1">
      <c r="A26" s="3" t="inlineStr">
        <is>
          <t>KEUNTUNGAN BERSIH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</row>
    <row r="27">
      <c r="A27" s="11" t="inlineStr">
        <is>
          <t>Net Profit (EBT)</t>
        </is>
      </c>
      <c r="B27" s="12" t="inlineStr">
        <is>
          <t>Rp/bulan</t>
        </is>
      </c>
      <c r="C27" s="13">
        <f>C15-C24</f>
        <v/>
      </c>
      <c r="D27" s="13">
        <f>D15-D24</f>
        <v/>
      </c>
      <c r="E27" s="13">
        <f>E15-E24</f>
        <v/>
      </c>
      <c r="F27" s="13">
        <f>F15-F24</f>
        <v/>
      </c>
      <c r="G27" s="13">
        <f>G15-G24</f>
        <v/>
      </c>
      <c r="H27" s="13">
        <f>H15-H24</f>
        <v/>
      </c>
      <c r="I27" s="13">
        <f>I15-I24</f>
        <v/>
      </c>
      <c r="J27" s="13">
        <f>J15-J24</f>
        <v/>
      </c>
      <c r="K27" s="13">
        <f>K15-K24</f>
        <v/>
      </c>
      <c r="L27" s="13">
        <f>L15-L24</f>
        <v/>
      </c>
      <c r="M27" s="13">
        <f>M15-M24</f>
        <v/>
      </c>
      <c r="N27" s="13">
        <f>N15-N24</f>
        <v/>
      </c>
      <c r="O27" s="13">
        <f>O15-O24</f>
        <v/>
      </c>
      <c r="P27" s="13">
        <f>P15-P24</f>
        <v/>
      </c>
      <c r="Q27" s="13">
        <f>Q15-Q24</f>
        <v/>
      </c>
      <c r="R27" s="13">
        <f>R15-R24</f>
        <v/>
      </c>
      <c r="S27" s="13">
        <f>S15-S24</f>
        <v/>
      </c>
      <c r="T27" s="13">
        <f>T15-T24</f>
        <v/>
      </c>
      <c r="U27" s="13">
        <f>U15-U24</f>
        <v/>
      </c>
      <c r="V27" s="13">
        <f>V15-V24</f>
        <v/>
      </c>
      <c r="W27" s="13">
        <f>W15-W24</f>
        <v/>
      </c>
      <c r="X27" s="13">
        <f>X15-X24</f>
        <v/>
      </c>
      <c r="Y27" s="13">
        <f>Y15-Y24</f>
        <v/>
      </c>
      <c r="Z27" s="13">
        <f>Z15-Z24</f>
        <v/>
      </c>
      <c r="AA27" s="13">
        <f>SUM(C27:Z27)</f>
        <v/>
      </c>
    </row>
    <row r="28">
      <c r="A28" s="5" t="inlineStr">
        <is>
          <t>Pajak Penghasilan (11%)</t>
        </is>
      </c>
      <c r="B28" s="6" t="inlineStr">
        <is>
          <t>Rp/bulan</t>
        </is>
      </c>
      <c r="C28" s="14">
        <f>IF(C27&gt;0, C27*0.11, 0)</f>
        <v/>
      </c>
      <c r="D28" s="14">
        <f>IF(D27&gt;0, D27*0.11, 0)</f>
        <v/>
      </c>
      <c r="E28" s="14">
        <f>IF(E27&gt;0, E27*0.11, 0)</f>
        <v/>
      </c>
      <c r="F28" s="14">
        <f>IF(F27&gt;0, F27*0.11, 0)</f>
        <v/>
      </c>
      <c r="G28" s="14">
        <f>IF(G27&gt;0, G27*0.11, 0)</f>
        <v/>
      </c>
      <c r="H28" s="14">
        <f>IF(H27&gt;0, H27*0.11, 0)</f>
        <v/>
      </c>
      <c r="I28" s="14">
        <f>IF(I27&gt;0, I27*0.11, 0)</f>
        <v/>
      </c>
      <c r="J28" s="14">
        <f>IF(J27&gt;0, J27*0.11, 0)</f>
        <v/>
      </c>
      <c r="K28" s="14">
        <f>IF(K27&gt;0, K27*0.11, 0)</f>
        <v/>
      </c>
      <c r="L28" s="14">
        <f>IF(L27&gt;0, L27*0.11, 0)</f>
        <v/>
      </c>
      <c r="M28" s="14">
        <f>IF(M27&gt;0, M27*0.11, 0)</f>
        <v/>
      </c>
      <c r="N28" s="14">
        <f>IF(N27&gt;0, N27*0.11, 0)</f>
        <v/>
      </c>
      <c r="O28" s="14">
        <f>IF(O27&gt;0, O27*0.11, 0)</f>
        <v/>
      </c>
      <c r="P28" s="14">
        <f>IF(P27&gt;0, P27*0.11, 0)</f>
        <v/>
      </c>
      <c r="Q28" s="14">
        <f>IF(Q27&gt;0, Q27*0.11, 0)</f>
        <v/>
      </c>
      <c r="R28" s="14">
        <f>IF(R27&gt;0, R27*0.11, 0)</f>
        <v/>
      </c>
      <c r="S28" s="14">
        <f>IF(S27&gt;0, S27*0.11, 0)</f>
        <v/>
      </c>
      <c r="T28" s="14">
        <f>IF(T27&gt;0, T27*0.11, 0)</f>
        <v/>
      </c>
      <c r="U28" s="14">
        <f>IF(U27&gt;0, U27*0.11, 0)</f>
        <v/>
      </c>
      <c r="V28" s="14">
        <f>IF(V27&gt;0, V27*0.11, 0)</f>
        <v/>
      </c>
      <c r="W28" s="14">
        <f>IF(W27&gt;0, W27*0.11, 0)</f>
        <v/>
      </c>
      <c r="X28" s="14">
        <f>IF(X27&gt;0, X27*0.11, 0)</f>
        <v/>
      </c>
      <c r="Y28" s="14">
        <f>IF(Y27&gt;0, Y27*0.11, 0)</f>
        <v/>
      </c>
      <c r="Z28" s="14">
        <f>IF(Z27&gt;0, Z27*0.11, 0)</f>
        <v/>
      </c>
      <c r="AA28" s="10">
        <f>SUM(C28:Z28)</f>
        <v/>
      </c>
    </row>
    <row r="29">
      <c r="A29" s="11" t="inlineStr">
        <is>
          <t>Net Profit After Tax</t>
        </is>
      </c>
      <c r="B29" s="12" t="inlineStr">
        <is>
          <t>Rp/bulan</t>
        </is>
      </c>
      <c r="C29" s="16">
        <f>C27-C28</f>
        <v/>
      </c>
      <c r="D29" s="16">
        <f>D27-D28</f>
        <v/>
      </c>
      <c r="E29" s="16">
        <f>E27-E28</f>
        <v/>
      </c>
      <c r="F29" s="16">
        <f>F27-F28</f>
        <v/>
      </c>
      <c r="G29" s="16">
        <f>G27-G28</f>
        <v/>
      </c>
      <c r="H29" s="16">
        <f>H27-H28</f>
        <v/>
      </c>
      <c r="I29" s="16">
        <f>I27-I28</f>
        <v/>
      </c>
      <c r="J29" s="16">
        <f>J27-J28</f>
        <v/>
      </c>
      <c r="K29" s="16">
        <f>K27-K28</f>
        <v/>
      </c>
      <c r="L29" s="16">
        <f>L27-L28</f>
        <v/>
      </c>
      <c r="M29" s="16">
        <f>M27-M28</f>
        <v/>
      </c>
      <c r="N29" s="16">
        <f>N27-N28</f>
        <v/>
      </c>
      <c r="O29" s="16">
        <f>O27-O28</f>
        <v/>
      </c>
      <c r="P29" s="16">
        <f>P27-P28</f>
        <v/>
      </c>
      <c r="Q29" s="16">
        <f>Q27-Q28</f>
        <v/>
      </c>
      <c r="R29" s="16">
        <f>R27-R28</f>
        <v/>
      </c>
      <c r="S29" s="16">
        <f>S27-S28</f>
        <v/>
      </c>
      <c r="T29" s="16">
        <f>T27-T28</f>
        <v/>
      </c>
      <c r="U29" s="16">
        <f>U27-U28</f>
        <v/>
      </c>
      <c r="V29" s="16">
        <f>V27-V28</f>
        <v/>
      </c>
      <c r="W29" s="16">
        <f>W27-W28</f>
        <v/>
      </c>
      <c r="X29" s="16">
        <f>X27-X28</f>
        <v/>
      </c>
      <c r="Y29" s="16">
        <f>Y27-Y28</f>
        <v/>
      </c>
      <c r="Z29" s="16">
        <f>Z27-Z28</f>
        <v/>
      </c>
      <c r="AA29" s="16">
        <f>SUM(C29:Z29)</f>
        <v/>
      </c>
    </row>
    <row r="30">
      <c r="A30" s="11" t="inlineStr">
        <is>
          <t>Cumulative Cash Flow</t>
        </is>
      </c>
      <c r="B30" s="12" t="inlineStr">
        <is>
          <t>Rp</t>
        </is>
      </c>
      <c r="C30" s="16">
        <f>-'Analisis Kelayakan'!B4+C29</f>
        <v/>
      </c>
      <c r="D30" s="16">
        <f>C30+D29</f>
        <v/>
      </c>
      <c r="E30" s="16">
        <f>D30+E29</f>
        <v/>
      </c>
      <c r="F30" s="16">
        <f>E30+F29</f>
        <v/>
      </c>
      <c r="G30" s="16">
        <f>F30+G29</f>
        <v/>
      </c>
      <c r="H30" s="16">
        <f>G30+H29</f>
        <v/>
      </c>
      <c r="I30" s="16">
        <f>H30+I29</f>
        <v/>
      </c>
      <c r="J30" s="16">
        <f>I30+J29</f>
        <v/>
      </c>
      <c r="K30" s="16">
        <f>J30+K29</f>
        <v/>
      </c>
      <c r="L30" s="16">
        <f>K30+L29</f>
        <v/>
      </c>
      <c r="M30" s="16">
        <f>L30+M29</f>
        <v/>
      </c>
      <c r="N30" s="16">
        <f>M30+N29</f>
        <v/>
      </c>
      <c r="O30" s="16">
        <f>N30+O29</f>
        <v/>
      </c>
      <c r="P30" s="16">
        <f>O30+P29</f>
        <v/>
      </c>
      <c r="Q30" s="16">
        <f>P30+Q29</f>
        <v/>
      </c>
      <c r="R30" s="16">
        <f>Q30+R29</f>
        <v/>
      </c>
      <c r="S30" s="16">
        <f>R30+S29</f>
        <v/>
      </c>
      <c r="T30" s="16">
        <f>S30+T29</f>
        <v/>
      </c>
      <c r="U30" s="16">
        <f>T30+U29</f>
        <v/>
      </c>
      <c r="V30" s="16">
        <f>U30+V29</f>
        <v/>
      </c>
      <c r="W30" s="16">
        <f>V30+W29</f>
        <v/>
      </c>
      <c r="X30" s="16">
        <f>W30+X29</f>
        <v/>
      </c>
      <c r="Y30" s="16">
        <f>X30+Y29</f>
        <v/>
      </c>
      <c r="Z30" s="16">
        <f>Y30+Z29</f>
        <v/>
      </c>
      <c r="AA30" s="17" t="inlineStr">
        <is>
          <t>-</t>
        </is>
      </c>
    </row>
  </sheetData>
  <mergeCells count="5">
    <mergeCell ref="A2:AB2"/>
    <mergeCell ref="A10:AB10"/>
    <mergeCell ref="A5:AB5"/>
    <mergeCell ref="A18:AB18"/>
    <mergeCell ref="A26:AB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2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15" customWidth="1" min="4" max="4"/>
    <col width="15" customWidth="1" min="5" max="5"/>
    <col width="12" customWidth="1" min="7" max="7"/>
    <col width="16" customWidth="1" min="8" max="8"/>
  </cols>
  <sheetData>
    <row r="2" ht="40" customHeight="1">
      <c r="A2" s="1" t="inlineStr">
        <is>
          <t>ANALISIS KELAYAKAN FINANSIAL CHURNSENSE</t>
        </is>
      </c>
    </row>
    <row r="4">
      <c r="A4" s="18" t="inlineStr">
        <is>
          <t>Parameter</t>
        </is>
      </c>
      <c r="B4" s="18" t="inlineStr">
        <is>
          <t>Nilai</t>
        </is>
      </c>
      <c r="C4" s="18" t="inlineStr">
        <is>
          <t>Keterangan</t>
        </is>
      </c>
      <c r="G4" s="19" t="inlineStr">
        <is>
          <t>Periode</t>
        </is>
      </c>
      <c r="H4" s="19" t="inlineStr">
        <is>
          <t>Cash Flow</t>
        </is>
      </c>
    </row>
    <row r="5">
      <c r="A5" s="20" t="inlineStr">
        <is>
          <t>Investasi Awal (Modal)</t>
        </is>
      </c>
      <c r="B5" s="21" t="n">
        <v>600000000</v>
      </c>
      <c r="C5" s="20" t="inlineStr">
        <is>
          <t>Mencakup capex &amp; working capital untuk operasional 11 bulan pertama</t>
        </is>
      </c>
      <c r="G5" s="5" t="inlineStr">
        <is>
          <t>Bulan 0</t>
        </is>
      </c>
      <c r="H5" s="22">
        <f>-B5</f>
        <v/>
      </c>
    </row>
    <row r="6">
      <c r="A6" s="20" t="inlineStr">
        <is>
          <t>Discount Rate (Annual)</t>
        </is>
      </c>
      <c r="B6" s="23" t="n">
        <v>0.12</v>
      </c>
      <c r="C6" s="20" t="inlineStr">
        <is>
          <t>Tingkat suku bunga acuan / biaya modal tahunan</t>
        </is>
      </c>
      <c r="G6" s="5" t="inlineStr">
        <is>
          <t>Bulan 1</t>
        </is>
      </c>
      <c r="H6" s="22">
        <f>'Proyeksi Bulanan'!C29</f>
        <v/>
      </c>
    </row>
    <row r="7">
      <c r="G7" s="5" t="inlineStr">
        <is>
          <t>Bulan 2</t>
        </is>
      </c>
      <c r="H7" s="22">
        <f>'Proyeksi Bulanan'!D29</f>
        <v/>
      </c>
    </row>
    <row r="8">
      <c r="G8" s="5" t="inlineStr">
        <is>
          <t>Bulan 3</t>
        </is>
      </c>
      <c r="H8" s="22">
        <f>'Proyeksi Bulanan'!E29</f>
        <v/>
      </c>
    </row>
    <row r="9">
      <c r="A9" s="24" t="inlineStr">
        <is>
          <t>NET PRESENT VALUE (NPV)</t>
        </is>
      </c>
      <c r="B9" s="25" t="n"/>
      <c r="D9" s="24" t="inlineStr">
        <is>
          <t>INTERNAL RATE OF RETURN (IRR)</t>
        </is>
      </c>
      <c r="E9" s="25" t="n"/>
      <c r="G9" s="5" t="inlineStr">
        <is>
          <t>Bulan 4</t>
        </is>
      </c>
      <c r="H9" s="22">
        <f>'Proyeksi Bulanan'!F29</f>
        <v/>
      </c>
    </row>
    <row r="10">
      <c r="A10" s="26">
        <f>NPV(B6/12, H6:H29)+H5</f>
        <v/>
      </c>
      <c r="B10" s="27" t="n"/>
      <c r="D10" s="28">
        <f>IRR(H5:H29)*12</f>
        <v/>
      </c>
      <c r="E10" s="27" t="n"/>
      <c r="G10" s="5" t="inlineStr">
        <is>
          <t>Bulan 5</t>
        </is>
      </c>
      <c r="H10" s="22">
        <f>'Proyeksi Bulanan'!G29</f>
        <v/>
      </c>
    </row>
    <row r="11">
      <c r="A11" s="29" t="n"/>
      <c r="B11" s="30" t="n"/>
      <c r="D11" s="29" t="n"/>
      <c r="E11" s="30" t="n"/>
      <c r="G11" s="5" t="inlineStr">
        <is>
          <t>Bulan 6</t>
        </is>
      </c>
      <c r="H11" s="22">
        <f>'Proyeksi Bulanan'!H29</f>
        <v/>
      </c>
    </row>
    <row r="12">
      <c r="G12" s="5" t="inlineStr">
        <is>
          <t>Bulan 7</t>
        </is>
      </c>
      <c r="H12" s="22">
        <f>'Proyeksi Bulanan'!I29</f>
        <v/>
      </c>
    </row>
    <row r="13">
      <c r="A13" s="24" t="inlineStr">
        <is>
          <t>PAYBACK PERIOD (PP)</t>
        </is>
      </c>
      <c r="B13" s="25" t="n"/>
      <c r="D13" s="24" t="inlineStr">
        <is>
          <t>PROFITABILITY INDEX (PI)</t>
        </is>
      </c>
      <c r="E13" s="25" t="n"/>
      <c r="G13" s="5" t="inlineStr">
        <is>
          <t>Bulan 8</t>
        </is>
      </c>
      <c r="H13" s="22">
        <f>'Proyeksi Bulanan'!J29</f>
        <v/>
      </c>
    </row>
    <row r="14">
      <c r="A14" s="31" t="inlineStr">
        <is>
          <t>20 Bulan</t>
        </is>
      </c>
      <c r="B14" s="27" t="n"/>
      <c r="D14" s="32">
        <f>(A10+B5)/B5</f>
        <v/>
      </c>
      <c r="E14" s="27" t="n"/>
      <c r="G14" s="5" t="inlineStr">
        <is>
          <t>Bulan 9</t>
        </is>
      </c>
      <c r="H14" s="22">
        <f>'Proyeksi Bulanan'!K29</f>
        <v/>
      </c>
    </row>
    <row r="15">
      <c r="A15" s="29" t="n"/>
      <c r="B15" s="30" t="n"/>
      <c r="D15" s="29" t="n"/>
      <c r="E15" s="30" t="n"/>
      <c r="G15" s="5" t="inlineStr">
        <is>
          <t>Bulan 10</t>
        </is>
      </c>
      <c r="H15" s="22">
        <f>'Proyeksi Bulanan'!L29</f>
        <v/>
      </c>
    </row>
    <row r="16">
      <c r="G16" s="5" t="inlineStr">
        <is>
          <t>Bulan 11</t>
        </is>
      </c>
      <c r="H16" s="22">
        <f>'Proyeksi Bulanan'!M29</f>
        <v/>
      </c>
    </row>
    <row r="17">
      <c r="A17" s="33" t="inlineStr">
        <is>
          <t>Kesimpulan Kelayakan Finansial:</t>
        </is>
      </c>
      <c r="G17" s="5" t="inlineStr">
        <is>
          <t>Bulan 12</t>
        </is>
      </c>
      <c r="H17" s="22">
        <f>'Proyeksi Bulanan'!N29</f>
        <v/>
      </c>
    </row>
    <row r="18">
      <c r="A18" s="34" t="inlineStr">
        <is>
          <t>1. Net Present Value (NPV) &gt; 0 (Positif): Investasi ini layak secara finansial karena nilai sekarang dari arus kas masa depan lebih besar dari modal awal.</t>
        </is>
      </c>
      <c r="G18" s="5" t="inlineStr">
        <is>
          <t>Bulan 13</t>
        </is>
      </c>
      <c r="H18" s="22">
        <f>'Proyeksi Bulanan'!O29</f>
        <v/>
      </c>
    </row>
    <row r="19">
      <c r="A19" s="34" t="inlineStr">
        <is>
          <t>2. IRR &gt; Discount Rate (12%): Tingkat pengembalian internal proyek jauh melampaui tingkat suku bunga acuan bank, menandakan investasi sangat menguntungkan.</t>
        </is>
      </c>
      <c r="G19" s="5" t="inlineStr">
        <is>
          <t>Bulan 14</t>
        </is>
      </c>
      <c r="H19" s="22">
        <f>'Proyeksi Bulanan'!P29</f>
        <v/>
      </c>
    </row>
    <row r="20">
      <c r="A20" s="34" t="inlineStr">
        <is>
          <t>3. Payback Period (20 Bulan): Seluruh modal investasi awal sebesar Rp 600.000.000 akan sepenuhnya kembali pada bulan ke-20.</t>
        </is>
      </c>
      <c r="G20" s="5" t="inlineStr">
        <is>
          <t>Bulan 15</t>
        </is>
      </c>
      <c r="H20" s="22">
        <f>'Proyeksi Bulanan'!Q29</f>
        <v/>
      </c>
    </row>
    <row r="21">
      <c r="A21" s="34" t="inlineStr">
        <is>
          <t>4. Profitability Index (PI) &gt; 1.0: Setiap Rp 1 yang diinvestasikan menghasilkan nilai lebih dari Rp 1, yang menunjukkan efisiensi investasi yang sangat baik.</t>
        </is>
      </c>
      <c r="G21" s="5" t="inlineStr">
        <is>
          <t>Bulan 16</t>
        </is>
      </c>
      <c r="H21" s="22">
        <f>'Proyeksi Bulanan'!R29</f>
        <v/>
      </c>
    </row>
    <row r="22">
      <c r="G22" s="5" t="inlineStr">
        <is>
          <t>Bulan 17</t>
        </is>
      </c>
      <c r="H22" s="22">
        <f>'Proyeksi Bulanan'!S29</f>
        <v/>
      </c>
    </row>
    <row r="23">
      <c r="G23" s="5" t="inlineStr">
        <is>
          <t>Bulan 18</t>
        </is>
      </c>
      <c r="H23" s="22">
        <f>'Proyeksi Bulanan'!T29</f>
        <v/>
      </c>
    </row>
    <row r="24">
      <c r="G24" s="5" t="inlineStr">
        <is>
          <t>Bulan 19</t>
        </is>
      </c>
      <c r="H24" s="22">
        <f>'Proyeksi Bulanan'!U29</f>
        <v/>
      </c>
    </row>
    <row r="25">
      <c r="G25" s="5" t="inlineStr">
        <is>
          <t>Bulan 20</t>
        </is>
      </c>
      <c r="H25" s="22">
        <f>'Proyeksi Bulanan'!V29</f>
        <v/>
      </c>
    </row>
    <row r="26">
      <c r="G26" s="5" t="inlineStr">
        <is>
          <t>Bulan 21</t>
        </is>
      </c>
      <c r="H26" s="22">
        <f>'Proyeksi Bulanan'!W29</f>
        <v/>
      </c>
    </row>
    <row r="27">
      <c r="G27" s="5" t="inlineStr">
        <is>
          <t>Bulan 22</t>
        </is>
      </c>
      <c r="H27" s="22">
        <f>'Proyeksi Bulanan'!X29</f>
        <v/>
      </c>
    </row>
    <row r="28">
      <c r="G28" s="5" t="inlineStr">
        <is>
          <t>Bulan 23</t>
        </is>
      </c>
      <c r="H28" s="22">
        <f>'Proyeksi Bulanan'!Y29</f>
        <v/>
      </c>
    </row>
    <row r="29">
      <c r="G29" s="5" t="inlineStr">
        <is>
          <t>Bulan 24</t>
        </is>
      </c>
      <c r="H29" s="22">
        <f>'Proyeksi Bulanan'!Z29</f>
        <v/>
      </c>
    </row>
  </sheetData>
  <mergeCells count="13">
    <mergeCell ref="A20:F20"/>
    <mergeCell ref="A2:E2"/>
    <mergeCell ref="A19:F19"/>
    <mergeCell ref="D13:E13"/>
    <mergeCell ref="A10:B11"/>
    <mergeCell ref="A13:B13"/>
    <mergeCell ref="D14:E15"/>
    <mergeCell ref="A14:B15"/>
    <mergeCell ref="D10:E11"/>
    <mergeCell ref="A9:B9"/>
    <mergeCell ref="A18:F18"/>
    <mergeCell ref="D9:E9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2026-06-08T04:56:55Z</dcterms:created>
  <dcterms:modified xsi:type="dcterms:W3CDTF">2026-06-08T04:56:55Z</dcterms:modified>
</cp:coreProperties>
</file>